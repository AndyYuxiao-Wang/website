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y\Documents\Evergreen\nz\electionsUk\pipeline\data\raw\"/>
    </mc:Choice>
  </mc:AlternateContent>
  <xr:revisionPtr revIDLastSave="0" documentId="13_ncr:1_{3438784F-D7CB-4617-B9A2-BAF6D2CC1C73}" xr6:coauthVersionLast="47" xr6:coauthVersionMax="47" xr10:uidLastSave="{00000000-0000-0000-0000-000000000000}"/>
  <bookViews>
    <workbookView xWindow="-108" yWindow="-108" windowWidth="30936" windowHeight="18696" activeTab="6" xr2:uid="{02AE50C6-1C6C-4571-83A6-9EBB9999E0AC}"/>
  </bookViews>
  <sheets>
    <sheet name="Muslim" sheetId="1" r:id="rId1"/>
    <sheet name="Left" sheetId="2" r:id="rId2"/>
    <sheet name="Progressives" sheetId="3" r:id="rId3"/>
    <sheet name="Average" sheetId="4" r:id="rId4"/>
    <sheet name="Liberal" sheetId="5" r:id="rId5"/>
    <sheet name="Blues" sheetId="6" r:id="rId6"/>
    <sheet name="Reform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7" l="1"/>
  <c r="K6" i="3"/>
  <c r="K10" i="1"/>
  <c r="K9" i="7"/>
  <c r="K8" i="7"/>
  <c r="K7" i="7"/>
  <c r="K6" i="7"/>
  <c r="K5" i="7"/>
  <c r="K3" i="7"/>
  <c r="K2" i="7"/>
  <c r="K9" i="6"/>
  <c r="K8" i="6"/>
  <c r="K7" i="6"/>
  <c r="K6" i="6"/>
  <c r="K5" i="6"/>
  <c r="K4" i="6"/>
  <c r="K3" i="6"/>
  <c r="K2" i="6"/>
  <c r="K9" i="5"/>
  <c r="K8" i="5"/>
  <c r="K7" i="5"/>
  <c r="K6" i="5"/>
  <c r="K5" i="5"/>
  <c r="K4" i="5"/>
  <c r="K3" i="5"/>
  <c r="K2" i="5"/>
  <c r="K9" i="4"/>
  <c r="K8" i="4"/>
  <c r="K7" i="4"/>
  <c r="K6" i="4"/>
  <c r="K5" i="4"/>
  <c r="K4" i="4"/>
  <c r="K3" i="4"/>
  <c r="K2" i="4"/>
  <c r="K9" i="3"/>
  <c r="K8" i="3"/>
  <c r="K7" i="3"/>
  <c r="K5" i="3"/>
  <c r="K4" i="3"/>
  <c r="K3" i="3"/>
  <c r="K2" i="3"/>
  <c r="K9" i="2"/>
  <c r="K8" i="2"/>
  <c r="K7" i="2"/>
  <c r="K6" i="2"/>
  <c r="K5" i="2"/>
  <c r="K4" i="2"/>
  <c r="K3" i="2"/>
  <c r="K2" i="2"/>
  <c r="K3" i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<sst xmlns="http://schemas.openxmlformats.org/spreadsheetml/2006/main" count="126" uniqueCount="9">
  <si>
    <t>Labour</t>
  </si>
  <si>
    <t>Conservative</t>
  </si>
  <si>
    <t>Reform</t>
  </si>
  <si>
    <t>LibDem</t>
  </si>
  <si>
    <t>Green</t>
  </si>
  <si>
    <t>Oth</t>
  </si>
  <si>
    <t>SNP</t>
  </si>
  <si>
    <t>Plaid</t>
  </si>
  <si>
    <t>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</si>
</sst>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1E71-303C-4E38-8112-EA93427664D3}">
  <dimension ref="A1:K10"/>
  <sheetViews>
    <sheetView workbookViewId="0">
      <selection activeCell="C2" sqref="C2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70</v>
      </c>
      <c r="C2">
        <v>0</v>
      </c>
      <c r="D2">
        <v>0</v>
      </c>
      <c r="E2">
        <v>0</v>
      </c>
      <c r="F2">
        <v>10</v>
      </c>
      <c r="G2">
        <v>0</v>
      </c>
      <c r="H2">
        <v>20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10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60</v>
      </c>
      <c r="F5">
        <v>40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80</v>
      </c>
      <c r="G7">
        <v>20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20</v>
      </c>
      <c r="G8">
        <v>0</v>
      </c>
      <c r="H8">
        <v>80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f t="shared" si="0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0E1F-1FF9-41FF-B555-EECBF0C60D5D}">
  <dimension ref="A1:K10"/>
  <sheetViews>
    <sheetView workbookViewId="0">
      <selection activeCell="G8" sqref="G8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45</v>
      </c>
      <c r="C2">
        <v>0</v>
      </c>
      <c r="D2">
        <v>0</v>
      </c>
      <c r="E2">
        <v>0</v>
      </c>
      <c r="F2">
        <v>35</v>
      </c>
      <c r="G2">
        <v>0</v>
      </c>
      <c r="H2">
        <v>20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80</v>
      </c>
      <c r="D3">
        <v>0</v>
      </c>
      <c r="E3">
        <v>0</v>
      </c>
      <c r="F3">
        <v>0</v>
      </c>
      <c r="G3">
        <v>0</v>
      </c>
      <c r="H3">
        <v>20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30</v>
      </c>
      <c r="F5">
        <v>70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80</v>
      </c>
      <c r="G7">
        <v>20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75</v>
      </c>
      <c r="G8">
        <v>0</v>
      </c>
      <c r="H8">
        <v>25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96DA-2F2C-4FBD-914F-D349D32F9437}">
  <dimension ref="A1:K10"/>
  <sheetViews>
    <sheetView workbookViewId="0">
      <selection activeCell="K7" sqref="K7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  <c r="H2">
        <v>20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95</v>
      </c>
      <c r="F5">
        <v>5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>100-SUM(B6:I6)</f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40</v>
      </c>
      <c r="G7">
        <v>20</v>
      </c>
      <c r="H7">
        <v>40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3</v>
      </c>
      <c r="G8">
        <v>0</v>
      </c>
      <c r="H8">
        <v>97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B112-84F8-4B2F-99CF-4BC57C963C78}">
  <dimension ref="A1:K10"/>
  <sheetViews>
    <sheetView workbookViewId="0">
      <selection activeCell="D3" sqref="D3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54</v>
      </c>
      <c r="C2">
        <v>3</v>
      </c>
      <c r="D2">
        <v>5</v>
      </c>
      <c r="E2">
        <v>3</v>
      </c>
      <c r="F2">
        <v>0</v>
      </c>
      <c r="G2">
        <v>0</v>
      </c>
      <c r="H2">
        <v>35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10</v>
      </c>
      <c r="E5">
        <v>85</v>
      </c>
      <c r="F5">
        <v>0</v>
      </c>
      <c r="G5">
        <v>0</v>
      </c>
      <c r="H5">
        <v>5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20</v>
      </c>
      <c r="H7">
        <v>80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4</v>
      </c>
      <c r="E8">
        <v>0</v>
      </c>
      <c r="F8">
        <v>0</v>
      </c>
      <c r="G8">
        <v>0</v>
      </c>
      <c r="H8">
        <v>96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7F45-10A6-4D30-AEC2-6BCC78FF1684}">
  <dimension ref="A1:K10"/>
  <sheetViews>
    <sheetView workbookViewId="0">
      <selection activeCell="E3" sqref="E3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60</v>
      </c>
      <c r="C2">
        <v>25</v>
      </c>
      <c r="D2">
        <v>0</v>
      </c>
      <c r="E2">
        <v>5</v>
      </c>
      <c r="F2">
        <v>5</v>
      </c>
      <c r="G2">
        <v>0</v>
      </c>
      <c r="H2">
        <v>5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5</v>
      </c>
      <c r="D5">
        <v>0</v>
      </c>
      <c r="E5">
        <v>95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50</v>
      </c>
      <c r="H7">
        <v>50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BAE0-EFA5-4139-AE39-E1D3955F4E0F}">
  <dimension ref="A1:K10"/>
  <sheetViews>
    <sheetView workbookViewId="0">
      <selection activeCell="J10" sqref="J1:J10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10</v>
      </c>
      <c r="C2">
        <v>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80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80</v>
      </c>
      <c r="D5">
        <v>0</v>
      </c>
      <c r="E5">
        <v>20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30</v>
      </c>
      <c r="D7">
        <v>0</v>
      </c>
      <c r="E7">
        <v>0</v>
      </c>
      <c r="F7">
        <v>0</v>
      </c>
      <c r="G7">
        <v>70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1566-89E9-4295-A695-003623AF8CDA}">
  <dimension ref="A1:K10"/>
  <sheetViews>
    <sheetView tabSelected="1" workbookViewId="0">
      <selection activeCell="J4" sqref="J4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25</v>
      </c>
      <c r="C2">
        <v>0</v>
      </c>
      <c r="D2">
        <v>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100-SUM(B2:I2)</f>
        <v>0</v>
      </c>
    </row>
    <row r="3" spans="1:11" x14ac:dyDescent="0.3">
      <c r="A3" t="s">
        <v>1</v>
      </c>
      <c r="B3">
        <v>0</v>
      </c>
      <c r="C3">
        <v>51</v>
      </c>
      <c r="D3">
        <v>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100-SUM(B3:I3)</f>
        <v>0</v>
      </c>
    </row>
    <row r="4" spans="1:11" x14ac:dyDescent="0.3">
      <c r="A4" t="s">
        <v>2</v>
      </c>
      <c r="B4">
        <v>0</v>
      </c>
      <c r="C4">
        <v>0</v>
      </c>
      <c r="D4">
        <v>80</v>
      </c>
      <c r="E4">
        <v>0</v>
      </c>
      <c r="F4">
        <v>0</v>
      </c>
      <c r="G4">
        <v>0</v>
      </c>
      <c r="H4">
        <v>0</v>
      </c>
      <c r="I4">
        <v>0</v>
      </c>
      <c r="J4">
        <v>15</v>
      </c>
      <c r="K4">
        <f>100-SUM(B4:I4)</f>
        <v>20</v>
      </c>
    </row>
    <row r="5" spans="1:11" x14ac:dyDescent="0.3">
      <c r="A5" t="s">
        <v>3</v>
      </c>
      <c r="B5">
        <v>0</v>
      </c>
      <c r="C5">
        <v>0</v>
      </c>
      <c r="D5">
        <v>7</v>
      </c>
      <c r="E5">
        <v>93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100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38</v>
      </c>
      <c r="E8">
        <v>0</v>
      </c>
      <c r="F8">
        <v>0</v>
      </c>
      <c r="G8">
        <v>0</v>
      </c>
      <c r="H8">
        <v>62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Muslim</vt:lpstr>
      <vt:lpstr>Left</vt:lpstr>
      <vt:lpstr>Progressives</vt:lpstr>
      <vt:lpstr>Average</vt:lpstr>
      <vt:lpstr>Liberal</vt:lpstr>
      <vt:lpstr>Blues</vt:lpstr>
      <vt:lpstr>Reforms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ANDY (UG)</dc:creator>
  <cp:lastModifiedBy>WANG, ANDY (UG)</cp:lastModifiedBy>
  <dcterms:created xsi:type="dcterms:W3CDTF">2026-07-05T02:00:38Z</dcterms:created>
  <dcterms:modified xsi:type="dcterms:W3CDTF">2026-08-26T15:04:06Z</dcterms:modified>
</cp:coreProperties>
</file>